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er 1" sheetId="2" state="visible" r:id="rId2"/>
    <sheet xmlns:r="http://schemas.openxmlformats.org/officeDocument/2006/relationships" name="Tier 2" sheetId="3" state="visible" r:id="rId3"/>
    <sheet xmlns:r="http://schemas.openxmlformats.org/officeDocument/2006/relationships" name="Tier 3" sheetId="4" state="visible" r:id="rId4"/>
    <sheet xmlns:r="http://schemas.openxmlformats.org/officeDocument/2006/relationships" name="Tier 4" sheetId="5" state="visible" r:id="rId5"/>
    <sheet xmlns:r="http://schemas.openxmlformats.org/officeDocument/2006/relationships" name="Tier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Helvetica Neue"/>
      <b val="1"/>
      <color rgb="FF0D7490"/>
      <sz val="11"/>
    </font>
    <font>
      <name val="Helvetica Neue"/>
      <b val="1"/>
      <color rgb="FF1D1D1F"/>
      <sz val="22"/>
    </font>
    <font>
      <name val="Helvetica Neue"/>
      <i val="1"/>
      <color rgb="FF86868B"/>
      <sz val="10"/>
    </font>
    <font>
      <name val="Helvetica Neue"/>
      <b val="1"/>
      <color rgb="FFFFFFFF"/>
      <sz val="10"/>
    </font>
    <font>
      <name val="Helvetica Neue"/>
      <color rgb="FF1D1D1F"/>
      <sz val="11"/>
    </font>
    <font>
      <name val="Helvetica Neue"/>
      <b val="1"/>
      <color rgb="FF1D1D1F"/>
      <sz val="11"/>
    </font>
    <font>
      <name val="Helvetica Neue"/>
      <color rgb="FF6E6E73"/>
      <sz val="11"/>
    </font>
    <font>
      <name val="Helvetica Neue"/>
      <b val="1"/>
      <color rgb="FF86868B"/>
      <sz val="8"/>
    </font>
    <font>
      <name val="Helvetica Neue"/>
      <b val="1"/>
      <color rgb="FF1D1D1F"/>
      <sz val="18"/>
    </font>
    <font>
      <name val="Helvetica Neue"/>
      <b val="1"/>
      <color rgb="FF1F7A4D"/>
      <sz val="10"/>
    </font>
  </fonts>
  <fills count="4">
    <fill>
      <patternFill/>
    </fill>
    <fill>
      <patternFill patternType="gray125"/>
    </fill>
    <fill>
      <patternFill patternType="solid">
        <fgColor rgb="FF0D7490"/>
        <bgColor rgb="FF0D7490"/>
      </patternFill>
    </fill>
    <fill>
      <patternFill patternType="solid">
        <fgColor rgb="FFE8F3EE"/>
        <bgColor rgb="FFE8F3EE"/>
      </patternFill>
    </fill>
  </fills>
  <borders count="3">
    <border>
      <left/>
      <right/>
      <top/>
      <bottom/>
      <diagonal/>
    </border>
    <border>
      <bottom style="thin">
        <color rgb="FFE3E3E6"/>
      </bottom>
    </border>
    <border>
      <top style="thin">
        <color rgb="FFE3E3E6"/>
      </top>
      <bottom style="thin">
        <color rgb="FFE3E3E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pivotButton="0" quotePrefix="0" xfId="0"/>
    <xf numFmtId="164" fontId="6" fillId="0" borderId="2" applyAlignment="1" pivotButton="0" quotePrefix="0" xfId="0">
      <alignment horizontal="right" vertical="center" wrapText="1"/>
    </xf>
    <xf numFmtId="0" fontId="1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right" vertical="center" wrapText="1"/>
    </xf>
    <xf numFmtId="0" fontId="10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6" customWidth="1" min="4" max="4"/>
    <col width="13" customWidth="1" min="5" max="5"/>
  </cols>
  <sheetData>
    <row r="1">
      <c r="A1" s="1" t="inlineStr">
        <is>
          <t>Say Watt Robotics</t>
        </is>
      </c>
    </row>
    <row r="2">
      <c r="A2" s="2" t="inlineStr">
        <is>
          <t>Bill of Materials — 2026–2027 MATE ROV Season (RANGER class)</t>
        </is>
      </c>
    </row>
    <row r="3">
      <c r="A3" s="3" t="inlineStr">
        <is>
          <t>Madison, Alabama  ·  Updated June 2026  ·  Maintained by the CFO</t>
        </is>
      </c>
    </row>
    <row r="4">
      <c r="A4" s="4" t="n"/>
      <c r="B4" s="4" t="n"/>
      <c r="C4" s="4" t="n"/>
      <c r="D4" s="4" t="n"/>
      <c r="E4" s="4" t="n"/>
      <c r="F4" s="4" t="n"/>
    </row>
    <row r="6" ht="28" customHeight="1">
      <c r="A6" s="5" t="inlineStr">
        <is>
          <t>Category</t>
        </is>
      </c>
      <c r="B6" s="6" t="inlineStr">
        <is>
          <t>Total budget</t>
        </is>
      </c>
      <c r="C6" s="6" t="inlineStr">
        <is>
          <t>Funded</t>
        </is>
      </c>
      <c r="D6" s="6" t="inlineStr">
        <is>
          <t>Remaining</t>
        </is>
      </c>
      <c r="E6" s="6" t="inlineStr">
        <is>
          <t>Status</t>
        </is>
      </c>
    </row>
    <row r="7">
      <c r="A7" s="7" t="inlineStr">
        <is>
          <t>Tier 1 — Competition entry &amp; travel</t>
        </is>
      </c>
      <c r="B7" s="8" t="n">
        <v>1650</v>
      </c>
      <c r="C7" s="8" t="n">
        <v>1650</v>
      </c>
      <c r="D7" s="8">
        <f>B7-C7</f>
        <v/>
      </c>
      <c r="E7" s="9">
        <f>IF(C7&gt;=B7,"Funded",IF(C7=0,"Open","Partial"))</f>
        <v/>
      </c>
    </row>
    <row r="8">
      <c r="A8" s="7" t="inlineStr">
        <is>
          <t>Tier 2 — Propulsion, frame &amp; power</t>
        </is>
      </c>
      <c r="B8" s="8" t="n">
        <v>2800</v>
      </c>
      <c r="C8" s="8" t="n">
        <v>1050</v>
      </c>
      <c r="D8" s="8">
        <f>B8-C8</f>
        <v/>
      </c>
      <c r="E8" s="9">
        <f>IF(C8&gt;=B8,"Funded",IF(C8=0,"Open","Partial"))</f>
        <v/>
      </c>
    </row>
    <row r="9">
      <c r="A9" s="7" t="inlineStr">
        <is>
          <t>Tier 3 — Electronics, control &amp; payload</t>
        </is>
      </c>
      <c r="B9" s="8" t="n">
        <v>2320</v>
      </c>
      <c r="C9" s="8" t="n">
        <v>300</v>
      </c>
      <c r="D9" s="8">
        <f>B9-C9</f>
        <v/>
      </c>
      <c r="E9" s="9">
        <f>IF(C9&gt;=B9,"Funded",IF(C9=0,"Open","Partial"))</f>
        <v/>
      </c>
    </row>
    <row r="10">
      <c r="A10" s="7" t="inlineStr">
        <is>
          <t>Tier 4 — Tools, safety &amp; shop</t>
        </is>
      </c>
      <c r="B10" s="8" t="n">
        <v>1400</v>
      </c>
      <c r="C10" s="8" t="n">
        <v>0</v>
      </c>
      <c r="D10" s="8">
        <f>B10-C10</f>
        <v/>
      </c>
      <c r="E10" s="9">
        <f>IF(C10&gt;=B10,"Funded",IF(C10=0,"Open","Partial"))</f>
        <v/>
      </c>
    </row>
    <row r="11">
      <c r="A11" s="7" t="inlineStr">
        <is>
          <t>Tier 5 — Float, documentation &amp; reliability</t>
        </is>
      </c>
      <c r="B11" s="8" t="n">
        <v>1630</v>
      </c>
      <c r="C11" s="8" t="n">
        <v>0</v>
      </c>
      <c r="D11" s="8">
        <f>B11-C11</f>
        <v/>
      </c>
      <c r="E11" s="9">
        <f>IF(C11&gt;=B11,"Funded",IF(C11=0,"Open","Partial"))</f>
        <v/>
      </c>
    </row>
    <row r="12">
      <c r="A12" s="10" t="inlineStr">
        <is>
          <t>Season total</t>
        </is>
      </c>
      <c r="B12" s="11">
        <f>SUM(B7:B11)</f>
        <v/>
      </c>
      <c r="C12" s="11">
        <f>SUM(C7:C11)</f>
        <v/>
      </c>
      <c r="D12" s="11">
        <f>B12-C12</f>
        <v/>
      </c>
      <c r="E12" s="12">
        <f>TEXT(C12/B12,"0%")</f>
        <v/>
      </c>
    </row>
    <row r="15">
      <c r="A15" s="1" t="inlineStr">
        <is>
          <t>How to read this workbook</t>
        </is>
      </c>
    </row>
    <row r="16">
      <c r="A16" s="13" t="inlineStr">
        <is>
          <t xml:space="preserve">  • One sheet per Tier. Each sheet lists every line item, vendor, quantity, unit cost, total, and funding status.</t>
        </is>
      </c>
    </row>
    <row r="17">
      <c r="A17" s="13" t="inlineStr">
        <is>
          <t xml:space="preserve">  • Change the Status column on any line to “Funded”, “Ordered”, or “Received” as money lands and parts arrive.</t>
        </is>
      </c>
    </row>
    <row r="18">
      <c r="A18" s="13" t="inlineStr">
        <is>
          <t xml:space="preserve">  • Summary totals roll up automatically from the Tier sheets.</t>
        </is>
      </c>
    </row>
    <row r="19">
      <c r="A19" s="13" t="inlineStr">
        <is>
          <t xml:space="preserve">  • The 2027 MATE competition manual drops in November 2026 — expect mission-specific items to be added then.</t>
        </is>
      </c>
    </row>
    <row r="22">
      <c r="A22" s="14" t="inlineStr">
        <is>
          <t>Say Watt Robotics  ·  A 501(c)(3) non-profit youth robotics program  ·  saywattrobotics.org</t>
        </is>
      </c>
    </row>
  </sheetData>
  <mergeCells count="5">
    <mergeCell ref="A16:E16"/>
    <mergeCell ref="A19:E19"/>
    <mergeCell ref="A22:E22"/>
    <mergeCell ref="A17:E17"/>
    <mergeCell ref="A18:E18"/>
  </mergeCells>
  <printOptions horizontalCentered="1"/>
  <pageMargins left="0.4" right="0.4" top="0.5" bottom="0.5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22" customWidth="1" min="4" max="4"/>
    <col width="6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Say Watt Robotics</t>
        </is>
      </c>
    </row>
    <row r="2">
      <c r="A2" s="15" t="inlineStr">
        <is>
          <t>Tier 1 — Competition entry &amp; travel</t>
        </is>
      </c>
    </row>
    <row r="3">
      <c r="A3" s="3" t="inlineStr">
        <is>
          <t>Gets the team to the water in April 2027.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6" ht="26" customHeight="1">
      <c r="A6" s="6" t="inlineStr">
        <is>
          <t>#</t>
        </is>
      </c>
      <c r="B6" s="6" t="inlineStr">
        <is>
          <t>Item / Part</t>
        </is>
      </c>
      <c r="C6" s="6" t="inlineStr">
        <is>
          <t>Vendor</t>
        </is>
      </c>
      <c r="D6" s="6" t="inlineStr">
        <is>
          <t>Part / Reference</t>
        </is>
      </c>
      <c r="E6" s="6" t="inlineStr">
        <is>
          <t>Qty</t>
        </is>
      </c>
      <c r="F6" s="6" t="inlineStr">
        <is>
          <t>Unit cost</t>
        </is>
      </c>
      <c r="G6" s="6" t="inlineStr">
        <is>
          <t>Total</t>
        </is>
      </c>
      <c r="H6" s="6" t="inlineStr">
        <is>
          <t>Status</t>
        </is>
      </c>
    </row>
    <row r="7">
      <c r="A7" s="16" t="n">
        <v>1</v>
      </c>
      <c r="B7" s="17" t="inlineStr">
        <is>
          <t>RANGER competition registration</t>
        </is>
      </c>
      <c r="C7" s="17" t="inlineStr">
        <is>
          <t>MATE</t>
        </is>
      </c>
      <c r="D7" s="17" t="inlineStr">
        <is>
          <t>2027 regional (assignment TBD)</t>
        </is>
      </c>
      <c r="E7" s="16" t="n">
        <v>1</v>
      </c>
      <c r="F7" s="18" t="n">
        <v>250</v>
      </c>
      <c r="G7" s="18">
        <f>E7*F7</f>
        <v/>
      </c>
      <c r="H7" s="19" t="inlineStr">
        <is>
          <t>Funded</t>
        </is>
      </c>
    </row>
    <row r="8">
      <c r="A8" s="16" t="n">
        <v>2</v>
      </c>
      <c r="B8" s="17" t="inlineStr">
        <is>
          <t>Regional travel &amp; lodging</t>
        </is>
      </c>
      <c r="C8" s="17" t="inlineStr">
        <is>
          <t>Team-managed</t>
        </is>
      </c>
      <c r="D8" s="17" t="inlineStr">
        <is>
          <t>Travel to our 2027 regional (TBD)</t>
        </is>
      </c>
      <c r="E8" s="16" t="n">
        <v>1</v>
      </c>
      <c r="F8" s="18" t="n">
        <v>1400</v>
      </c>
      <c r="G8" s="18">
        <f>E8*F8</f>
        <v/>
      </c>
      <c r="H8" s="19" t="inlineStr">
        <is>
          <t>Funded</t>
        </is>
      </c>
    </row>
    <row r="9">
      <c r="A9" s="20" t="n"/>
      <c r="B9" s="10" t="inlineStr">
        <is>
          <t>Tier 1 total</t>
        </is>
      </c>
      <c r="C9" s="20" t="n"/>
      <c r="D9" s="20" t="n"/>
      <c r="E9" s="20" t="n"/>
      <c r="F9" s="20" t="n"/>
      <c r="G9" s="11">
        <f>SUM(G7:G8)</f>
        <v/>
      </c>
      <c r="H9" s="20" t="n"/>
    </row>
  </sheetData>
  <printOptions horizontalCentered="1"/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22" customWidth="1" min="4" max="4"/>
    <col width="6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Say Watt Robotics</t>
        </is>
      </c>
    </row>
    <row r="2">
      <c r="A2" s="15" t="inlineStr">
        <is>
          <t>Tier 2 — Propulsion, frame &amp; power</t>
        </is>
      </c>
    </row>
    <row r="3">
      <c r="A3" s="3" t="inlineStr">
        <is>
          <t>The vehicle you can see — thrusters, frame, and onboard power.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6" ht="26" customHeight="1">
      <c r="A6" s="6" t="inlineStr">
        <is>
          <t>#</t>
        </is>
      </c>
      <c r="B6" s="6" t="inlineStr">
        <is>
          <t>Item / Part</t>
        </is>
      </c>
      <c r="C6" s="6" t="inlineStr">
        <is>
          <t>Vendor</t>
        </is>
      </c>
      <c r="D6" s="6" t="inlineStr">
        <is>
          <t>Part / Reference</t>
        </is>
      </c>
      <c r="E6" s="6" t="inlineStr">
        <is>
          <t>Qty</t>
        </is>
      </c>
      <c r="F6" s="6" t="inlineStr">
        <is>
          <t>Unit cost</t>
        </is>
      </c>
      <c r="G6" s="6" t="inlineStr">
        <is>
          <t>Total</t>
        </is>
      </c>
      <c r="H6" s="6" t="inlineStr">
        <is>
          <t>Status</t>
        </is>
      </c>
    </row>
    <row r="7">
      <c r="A7" s="16" t="n">
        <v>1</v>
      </c>
      <c r="B7" s="17" t="inlineStr">
        <is>
          <t>Brushless thruster (Blue Robotics T200) + ESC</t>
        </is>
      </c>
      <c r="C7" s="17" t="inlineStr">
        <is>
          <t>Blue Robotics</t>
        </is>
      </c>
      <c r="D7" s="17" t="inlineStr">
        <is>
          <t>T200-THRUSTER-R2 + BasicESC-R3</t>
        </is>
      </c>
      <c r="E7" s="16" t="n">
        <v>6</v>
      </c>
      <c r="F7" s="18" t="n">
        <v>290</v>
      </c>
      <c r="G7" s="18">
        <f>E7*F7</f>
        <v/>
      </c>
      <c r="H7" s="21" t="inlineStr">
        <is>
          <t>Open</t>
        </is>
      </c>
    </row>
    <row r="8">
      <c r="A8" s="16" t="n">
        <v>2</v>
      </c>
      <c r="B8" s="17" t="inlineStr">
        <is>
          <t>Spare thruster + printed propellers</t>
        </is>
      </c>
      <c r="C8" s="17" t="inlineStr">
        <is>
          <t>Blue Robotics + in-house</t>
        </is>
      </c>
      <c r="D8" s="17" t="inlineStr">
        <is>
          <t>T200 spare + spare props</t>
        </is>
      </c>
      <c r="E8" s="16" t="n">
        <v>1</v>
      </c>
      <c r="F8" s="18" t="n">
        <v>300</v>
      </c>
      <c r="G8" s="18">
        <f>E8*F8</f>
        <v/>
      </c>
      <c r="H8" s="19" t="inlineStr">
        <is>
          <t>Funded</t>
        </is>
      </c>
    </row>
    <row r="9">
      <c r="A9" s="16" t="n">
        <v>3</v>
      </c>
      <c r="B9" s="17" t="inlineStr">
        <is>
          <t>ROV frame &amp; structure (extrusion, HDPE, 316SS hardware)</t>
        </is>
      </c>
      <c r="C9" s="17" t="inlineStr">
        <is>
          <t>Misumi / McMaster</t>
        </is>
      </c>
      <c r="D9" s="17" t="inlineStr">
        <is>
          <t>20×20 alu extrusion + plate</t>
        </is>
      </c>
      <c r="E9" s="16" t="n">
        <v>1</v>
      </c>
      <c r="F9" s="18" t="n">
        <v>450</v>
      </c>
      <c r="G9" s="18">
        <f>E9*F9</f>
        <v/>
      </c>
      <c r="H9" s="19" t="inlineStr">
        <is>
          <t>Funded</t>
        </is>
      </c>
    </row>
    <row r="10">
      <c r="A10" s="16" t="n">
        <v>4</v>
      </c>
      <c r="B10" s="17" t="inlineStr">
        <is>
          <t>12 V battery system (LiFePO4 pack, charger, enclosure)</t>
        </is>
      </c>
      <c r="C10" s="17" t="inlineStr">
        <is>
          <t>Bioenno + Powerwerx</t>
        </is>
      </c>
      <c r="D10" s="17" t="inlineStr">
        <is>
          <t>LiFePO4 12V 12-20Ah + IP65 box</t>
        </is>
      </c>
      <c r="E10" s="16" t="n">
        <v>1</v>
      </c>
      <c r="F10" s="18" t="n">
        <v>300</v>
      </c>
      <c r="G10" s="18">
        <f>E10*F10</f>
        <v/>
      </c>
      <c r="H10" s="19" t="inlineStr">
        <is>
          <t>Funded</t>
        </is>
      </c>
    </row>
    <row r="11">
      <c r="A11" s="20" t="n"/>
      <c r="B11" s="10" t="inlineStr">
        <is>
          <t>Tier 2 total</t>
        </is>
      </c>
      <c r="C11" s="20" t="n"/>
      <c r="D11" s="20" t="n"/>
      <c r="E11" s="20" t="n"/>
      <c r="F11" s="20" t="n"/>
      <c r="G11" s="11">
        <f>SUM(G7:G10)</f>
        <v/>
      </c>
      <c r="H11" s="20" t="n"/>
    </row>
  </sheetData>
  <printOptions horizontalCentered="1"/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22" customWidth="1" min="4" max="4"/>
    <col width="6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Say Watt Robotics</t>
        </is>
      </c>
    </row>
    <row r="2">
      <c r="A2" s="15" t="inlineStr">
        <is>
          <t>Tier 3 — Electronics, control &amp; payload</t>
        </is>
      </c>
    </row>
    <row r="3">
      <c r="A3" s="3" t="inlineStr">
        <is>
          <t>The brain, eyes, and hands of the ROV.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6" ht="26" customHeight="1">
      <c r="A6" s="6" t="inlineStr">
        <is>
          <t>#</t>
        </is>
      </c>
      <c r="B6" s="6" t="inlineStr">
        <is>
          <t>Item / Part</t>
        </is>
      </c>
      <c r="C6" s="6" t="inlineStr">
        <is>
          <t>Vendor</t>
        </is>
      </c>
      <c r="D6" s="6" t="inlineStr">
        <is>
          <t>Part / Reference</t>
        </is>
      </c>
      <c r="E6" s="6" t="inlineStr">
        <is>
          <t>Qty</t>
        </is>
      </c>
      <c r="F6" s="6" t="inlineStr">
        <is>
          <t>Unit cost</t>
        </is>
      </c>
      <c r="G6" s="6" t="inlineStr">
        <is>
          <t>Total</t>
        </is>
      </c>
      <c r="H6" s="6" t="inlineStr">
        <is>
          <t>Status</t>
        </is>
      </c>
    </row>
    <row r="7">
      <c r="A7" s="16" t="n">
        <v>1</v>
      </c>
      <c r="B7" s="17" t="inlineStr">
        <is>
          <t>Watertight electronics enclosure (4" tube, end caps, clamp, rails)</t>
        </is>
      </c>
      <c r="C7" s="17" t="inlineStr">
        <is>
          <t>Blue Robotics</t>
        </is>
      </c>
      <c r="D7" s="17" t="inlineStr">
        <is>
          <t>WTE4-ASM-R1</t>
        </is>
      </c>
      <c r="E7" s="16" t="n">
        <v>1</v>
      </c>
      <c r="F7" s="18" t="n">
        <v>300</v>
      </c>
      <c r="G7" s="18">
        <f>E7*F7</f>
        <v/>
      </c>
      <c r="H7" s="21" t="inlineStr">
        <is>
          <t>Open</t>
        </is>
      </c>
    </row>
    <row r="8">
      <c r="A8" s="16" t="n">
        <v>2</v>
      </c>
      <c r="B8" s="17" t="inlineStr">
        <is>
          <t>Penetrators &amp; waterproof connectors</t>
        </is>
      </c>
      <c r="C8" s="17" t="inlineStr">
        <is>
          <t>Blue Robotics</t>
        </is>
      </c>
      <c r="D8" s="17" t="inlineStr">
        <is>
          <t>WetLink + Cobalt 8 + spares</t>
        </is>
      </c>
      <c r="E8" s="16" t="n">
        <v>1</v>
      </c>
      <c r="F8" s="18" t="n">
        <v>300</v>
      </c>
      <c r="G8" s="18">
        <f>E8*F8</f>
        <v/>
      </c>
      <c r="H8" s="21" t="inlineStr">
        <is>
          <t>Open</t>
        </is>
      </c>
    </row>
    <row r="9">
      <c r="A9" s="16" t="n">
        <v>3</v>
      </c>
      <c r="B9" s="17" t="inlineStr">
        <is>
          <t>Pre-terminated tether (~25 m, neutrally buoyant)</t>
        </is>
      </c>
      <c r="C9" s="17" t="inlineStr">
        <is>
          <t>Blue Robotics</t>
        </is>
      </c>
      <c r="D9" s="17" t="inlineStr">
        <is>
          <t>Fathom Tether 8-conductor</t>
        </is>
      </c>
      <c r="E9" s="16" t="n">
        <v>1</v>
      </c>
      <c r="F9" s="18" t="n">
        <v>600</v>
      </c>
      <c r="G9" s="18">
        <f>E9*F9</f>
        <v/>
      </c>
      <c r="H9" s="21" t="inlineStr">
        <is>
          <t>Open</t>
        </is>
      </c>
    </row>
    <row r="10">
      <c r="A10" s="16" t="n">
        <v>4</v>
      </c>
      <c r="B10" s="17" t="inlineStr">
        <is>
          <t>Onboard compute &amp; control (Raspberry Pi 5, Pixhawk-style FC, topside box)</t>
        </is>
      </c>
      <c r="C10" s="17" t="inlineStr">
        <is>
          <t>Adafruit + Blue Robotics</t>
        </is>
      </c>
      <c r="D10" s="17" t="inlineStr">
        <is>
          <t>Pi 5 8GB + Navigator</t>
        </is>
      </c>
      <c r="E10" s="16" t="n">
        <v>1</v>
      </c>
      <c r="F10" s="18" t="n">
        <v>400</v>
      </c>
      <c r="G10" s="18">
        <f>E10*F10</f>
        <v/>
      </c>
      <c r="H10" s="21" t="inlineStr">
        <is>
          <t>Open</t>
        </is>
      </c>
    </row>
    <row r="11">
      <c r="A11" s="16" t="n">
        <v>5</v>
      </c>
      <c r="B11" s="17" t="inlineStr">
        <is>
          <t>Upgraded camera &amp; vision system (low-light HD)</t>
        </is>
      </c>
      <c r="C11" s="17" t="inlineStr">
        <is>
          <t>Blue Robotics</t>
        </is>
      </c>
      <c r="D11" s="17" t="inlineStr">
        <is>
          <t>Low-Light HD USB Camera</t>
        </is>
      </c>
      <c r="E11" s="16" t="n">
        <v>1</v>
      </c>
      <c r="F11" s="18" t="n">
        <v>250</v>
      </c>
      <c r="G11" s="18">
        <f>E11*F11</f>
        <v/>
      </c>
      <c r="H11" s="21" t="inlineStr">
        <is>
          <t>Open</t>
        </is>
      </c>
    </row>
    <row r="12">
      <c r="A12" s="16" t="n">
        <v>6</v>
      </c>
      <c r="B12" s="17" t="inlineStr">
        <is>
          <t>Depth &amp; orientation sensors (pressure + IMU)</t>
        </is>
      </c>
      <c r="C12" s="17" t="inlineStr">
        <is>
          <t>Blue Robotics + Adafruit</t>
        </is>
      </c>
      <c r="D12" s="17" t="inlineStr">
        <is>
          <t>Bar30 + BNO055</t>
        </is>
      </c>
      <c r="E12" s="16" t="n">
        <v>1</v>
      </c>
      <c r="F12" s="18" t="n">
        <v>170</v>
      </c>
      <c r="G12" s="18">
        <f>E12*F12</f>
        <v/>
      </c>
      <c r="H12" s="21" t="inlineStr">
        <is>
          <t>Open</t>
        </is>
      </c>
    </row>
    <row r="13">
      <c r="A13" s="16" t="n">
        <v>7</v>
      </c>
      <c r="B13" s="17" t="inlineStr">
        <is>
          <t>Pneumatic manipulator (gripper + small cylinder + tubing)</t>
        </is>
      </c>
      <c r="C13" s="17" t="inlineStr">
        <is>
          <t>Misc / DIY</t>
        </is>
      </c>
      <c r="D13" s="17" t="inlineStr">
        <is>
          <t>Gripper + pneumatic cylinder</t>
        </is>
      </c>
      <c r="E13" s="16" t="n">
        <v>1</v>
      </c>
      <c r="F13" s="18" t="n">
        <v>300</v>
      </c>
      <c r="G13" s="18">
        <f>E13*F13</f>
        <v/>
      </c>
      <c r="H13" s="19" t="inlineStr">
        <is>
          <t>Funded</t>
        </is>
      </c>
    </row>
    <row r="14">
      <c r="A14" s="20" t="n"/>
      <c r="B14" s="10" t="inlineStr">
        <is>
          <t>Tier 3 total</t>
        </is>
      </c>
      <c r="C14" s="20" t="n"/>
      <c r="D14" s="20" t="n"/>
      <c r="E14" s="20" t="n"/>
      <c r="F14" s="20" t="n"/>
      <c r="G14" s="11">
        <f>SUM(G7:G13)</f>
        <v/>
      </c>
      <c r="H14" s="20" t="n"/>
    </row>
  </sheetData>
  <printOptions horizontalCentered="1"/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22" customWidth="1" min="4" max="4"/>
    <col width="6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Say Watt Robotics</t>
        </is>
      </c>
    </row>
    <row r="2">
      <c r="A2" s="15" t="inlineStr">
        <is>
          <t>Tier 4 — Tools, safety &amp; shop</t>
        </is>
      </c>
    </row>
    <row r="3">
      <c r="A3" s="3" t="inlineStr">
        <is>
          <t>Carries forward every season — buy once, use for years.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6" ht="26" customHeight="1">
      <c r="A6" s="6" t="inlineStr">
        <is>
          <t>#</t>
        </is>
      </c>
      <c r="B6" s="6" t="inlineStr">
        <is>
          <t>Item / Part</t>
        </is>
      </c>
      <c r="C6" s="6" t="inlineStr">
        <is>
          <t>Vendor</t>
        </is>
      </c>
      <c r="D6" s="6" t="inlineStr">
        <is>
          <t>Part / Reference</t>
        </is>
      </c>
      <c r="E6" s="6" t="inlineStr">
        <is>
          <t>Qty</t>
        </is>
      </c>
      <c r="F6" s="6" t="inlineStr">
        <is>
          <t>Unit cost</t>
        </is>
      </c>
      <c r="G6" s="6" t="inlineStr">
        <is>
          <t>Total</t>
        </is>
      </c>
      <c r="H6" s="6" t="inlineStr">
        <is>
          <t>Status</t>
        </is>
      </c>
    </row>
    <row r="7">
      <c r="A7" s="16" t="n">
        <v>1</v>
      </c>
      <c r="B7" s="17" t="inlineStr">
        <is>
          <t>Soldering stations &amp; irons (workshop set)</t>
        </is>
      </c>
      <c r="C7" s="17" t="inlineStr">
        <is>
          <t>Hakko / Weller via Amazon</t>
        </is>
      </c>
      <c r="D7" s="17" t="inlineStr">
        <is>
          <t>FX-888D x 2</t>
        </is>
      </c>
      <c r="E7" s="16" t="n">
        <v>2</v>
      </c>
      <c r="F7" s="18" t="n">
        <v>150</v>
      </c>
      <c r="G7" s="18">
        <f>E7*F7</f>
        <v/>
      </c>
      <c r="H7" s="21" t="inlineStr">
        <is>
          <t>Open</t>
        </is>
      </c>
    </row>
    <row r="8">
      <c r="A8" s="16" t="n">
        <v>2</v>
      </c>
      <c r="B8" s="17" t="inlineStr">
        <is>
          <t>Hand tools &amp; test equipment (multimeters, clamp meter, etc.)</t>
        </is>
      </c>
      <c r="C8" s="17" t="inlineStr">
        <is>
          <t>Amazon + McMaster</t>
        </is>
      </c>
      <c r="D8" s="17" t="inlineStr">
        <is>
          <t>Fluke 117 + clamp meter kit</t>
        </is>
      </c>
      <c r="E8" s="16" t="n">
        <v>1</v>
      </c>
      <c r="F8" s="18" t="n">
        <v>400</v>
      </c>
      <c r="G8" s="18">
        <f>E8*F8</f>
        <v/>
      </c>
      <c r="H8" s="21" t="inlineStr">
        <is>
          <t>Open</t>
        </is>
      </c>
    </row>
    <row r="9">
      <c r="A9" s="16" t="n">
        <v>3</v>
      </c>
      <c r="B9" s="17" t="inlineStr">
        <is>
          <t>Safety gear (fume extractor, fire extinguisher, first-aid, mats)</t>
        </is>
      </c>
      <c r="C9" s="17" t="inlineStr">
        <is>
          <t>Various</t>
        </is>
      </c>
      <c r="D9" s="17" t="inlineStr">
        <is>
          <t>Workshop safety kit</t>
        </is>
      </c>
      <c r="E9" s="16" t="n">
        <v>1</v>
      </c>
      <c r="F9" s="18" t="n">
        <v>180</v>
      </c>
      <c r="G9" s="18">
        <f>E9*F9</f>
        <v/>
      </c>
      <c r="H9" s="21" t="inlineStr">
        <is>
          <t>Open</t>
        </is>
      </c>
    </row>
    <row r="10">
      <c r="A10" s="16" t="n">
        <v>4</v>
      </c>
      <c r="B10" s="17" t="inlineStr">
        <is>
          <t>Adhesives, sealants &amp; O-ring supplies</t>
        </is>
      </c>
      <c r="C10" s="17" t="inlineStr">
        <is>
          <t>Loctite + McMaster</t>
        </is>
      </c>
      <c r="D10" s="17" t="inlineStr">
        <is>
          <t>Marine epoxy + grease + O-rings</t>
        </is>
      </c>
      <c r="E10" s="16" t="n">
        <v>1</v>
      </c>
      <c r="F10" s="18" t="n">
        <v>200</v>
      </c>
      <c r="G10" s="18">
        <f>E10*F10</f>
        <v/>
      </c>
      <c r="H10" s="21" t="inlineStr">
        <is>
          <t>Open</t>
        </is>
      </c>
    </row>
    <row r="11">
      <c r="A11" s="16" t="n">
        <v>5</v>
      </c>
      <c r="B11" s="17" t="inlineStr">
        <is>
          <t>Build consumables (wire, solder, heat-shrink, fasteners, props)</t>
        </is>
      </c>
      <c r="C11" s="17" t="inlineStr">
        <is>
          <t>Various</t>
        </is>
      </c>
      <c r="D11" s="17" t="inlineStr">
        <is>
          <t>Bulk pack</t>
        </is>
      </c>
      <c r="E11" s="16" t="n">
        <v>1</v>
      </c>
      <c r="F11" s="18" t="n">
        <v>200</v>
      </c>
      <c r="G11" s="18">
        <f>E11*F11</f>
        <v/>
      </c>
      <c r="H11" s="21" t="inlineStr">
        <is>
          <t>Open</t>
        </is>
      </c>
    </row>
    <row r="12">
      <c r="A12" s="16" t="n">
        <v>6</v>
      </c>
      <c r="B12" s="17" t="inlineStr">
        <is>
          <t>Soldering &amp; circuit practice kits (every student)</t>
        </is>
      </c>
      <c r="C12" s="17" t="inlineStr">
        <is>
          <t>Adafruit / Elenco</t>
        </is>
      </c>
      <c r="D12" s="17" t="inlineStr">
        <is>
          <t>Practice boards (qty 12)</t>
        </is>
      </c>
      <c r="E12" s="16" t="n">
        <v>1</v>
      </c>
      <c r="F12" s="18" t="n">
        <v>120</v>
      </c>
      <c r="G12" s="18">
        <f>E12*F12</f>
        <v/>
      </c>
      <c r="H12" s="21" t="inlineStr">
        <is>
          <t>Open</t>
        </is>
      </c>
    </row>
    <row r="13">
      <c r="A13" s="20" t="n"/>
      <c r="B13" s="10" t="inlineStr">
        <is>
          <t>Tier 4 total</t>
        </is>
      </c>
      <c r="C13" s="20" t="n"/>
      <c r="D13" s="20" t="n"/>
      <c r="E13" s="20" t="n"/>
      <c r="F13" s="20" t="n"/>
      <c r="G13" s="11">
        <f>SUM(G7:G12)</f>
        <v/>
      </c>
      <c r="H13" s="20" t="n"/>
    </row>
  </sheetData>
  <printOptions horizontalCentered="1"/>
  <pageMargins left="0.4" right="0.4" top="0.5" bottom="0.5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22" customWidth="1" min="4" max="4"/>
    <col width="6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Say Watt Robotics</t>
        </is>
      </c>
    </row>
    <row r="2">
      <c r="A2" s="15" t="inlineStr">
        <is>
          <t>Tier 5 — Float, documentation &amp; reliability</t>
        </is>
      </c>
    </row>
    <row r="3">
      <c r="A3" s="3" t="inlineStr">
        <is>
          <t>The pieces that earn points beyond the ROV — float, paper, polish.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6" ht="26" customHeight="1">
      <c r="A6" s="6" t="inlineStr">
        <is>
          <t>#</t>
        </is>
      </c>
      <c r="B6" s="6" t="inlineStr">
        <is>
          <t>Item / Part</t>
        </is>
      </c>
      <c r="C6" s="6" t="inlineStr">
        <is>
          <t>Vendor</t>
        </is>
      </c>
      <c r="D6" s="6" t="inlineStr">
        <is>
          <t>Part / Reference</t>
        </is>
      </c>
      <c r="E6" s="6" t="inlineStr">
        <is>
          <t>Qty</t>
        </is>
      </c>
      <c r="F6" s="6" t="inlineStr">
        <is>
          <t>Unit cost</t>
        </is>
      </c>
      <c r="G6" s="6" t="inlineStr">
        <is>
          <t>Total</t>
        </is>
      </c>
      <c r="H6" s="6" t="inlineStr">
        <is>
          <t>Status</t>
        </is>
      </c>
    </row>
    <row r="7">
      <c r="A7" s="16" t="n">
        <v>1</v>
      </c>
      <c r="B7" s="17" t="inlineStr">
        <is>
          <t>Vertical profiling float build (extrusion, buoyancy engine, electronics)</t>
        </is>
      </c>
      <c r="C7" s="17" t="inlineStr">
        <is>
          <t>Blue Robotics + 3D print</t>
        </is>
      </c>
      <c r="D7" s="17" t="inlineStr">
        <is>
          <t>Custom build per MATE Floats spec</t>
        </is>
      </c>
      <c r="E7" s="16" t="n">
        <v>1</v>
      </c>
      <c r="F7" s="18" t="n">
        <v>400</v>
      </c>
      <c r="G7" s="18">
        <f>E7*F7</f>
        <v/>
      </c>
      <c r="H7" s="21" t="inlineStr">
        <is>
          <t>Open</t>
        </is>
      </c>
    </row>
    <row r="8">
      <c r="A8" s="16" t="n">
        <v>2</v>
      </c>
      <c r="B8" s="17" t="inlineStr">
        <is>
          <t>Float pressure sensor + battery + radio</t>
        </is>
      </c>
      <c r="C8" s="17" t="inlineStr">
        <is>
          <t>Adafruit + Blue Robotics</t>
        </is>
      </c>
      <c r="D8" s="17" t="inlineStr">
        <is>
          <t>Bar02 + 7.4V LiPo + LoRa radio</t>
        </is>
      </c>
      <c r="E8" s="16" t="n">
        <v>1</v>
      </c>
      <c r="F8" s="18" t="n">
        <v>230</v>
      </c>
      <c r="G8" s="18">
        <f>E8*F8</f>
        <v/>
      </c>
      <c r="H8" s="21" t="inlineStr">
        <is>
          <t>Open</t>
        </is>
      </c>
    </row>
    <row r="9">
      <c r="A9" s="16" t="n">
        <v>3</v>
      </c>
      <c r="B9" s="17" t="inlineStr">
        <is>
          <t>Print + bind the technical documentation + marketing display</t>
        </is>
      </c>
      <c r="C9" s="17" t="inlineStr">
        <is>
          <t>Local print shop</t>
        </is>
      </c>
      <c r="D9" s="17" t="inlineStr">
        <is>
          <t>Color print + binding + foam-core</t>
        </is>
      </c>
      <c r="E9" s="16" t="n">
        <v>1</v>
      </c>
      <c r="F9" s="18" t="n">
        <v>250</v>
      </c>
      <c r="G9" s="18">
        <f>E9*F9</f>
        <v/>
      </c>
      <c r="H9" s="21" t="inlineStr">
        <is>
          <t>Open</t>
        </is>
      </c>
    </row>
    <row r="10">
      <c r="A10" s="16" t="n">
        <v>4</v>
      </c>
      <c r="B10" s="17" t="inlineStr">
        <is>
          <t>Engineering presentation tablet + display dongle</t>
        </is>
      </c>
      <c r="C10" s="17" t="inlineStr">
        <is>
          <t>Used iPad / Amazon</t>
        </is>
      </c>
      <c r="D10" s="17" t="inlineStr">
        <is>
          <t>Display kit for the judges' room</t>
        </is>
      </c>
      <c r="E10" s="16" t="n">
        <v>1</v>
      </c>
      <c r="F10" s="18" t="n">
        <v>250</v>
      </c>
      <c r="G10" s="18">
        <f>E10*F10</f>
        <v/>
      </c>
      <c r="H10" s="21" t="inlineStr">
        <is>
          <t>Open</t>
        </is>
      </c>
    </row>
    <row r="11">
      <c r="A11" s="16" t="n">
        <v>5</v>
      </c>
      <c r="B11" s="17" t="inlineStr">
        <is>
          <t>Practice ball / mission props (community-pool rehearsal aids)</t>
        </is>
      </c>
      <c r="C11" s="17" t="inlineStr">
        <is>
          <t>DIY</t>
        </is>
      </c>
      <c r="D11" s="17" t="inlineStr">
        <is>
          <t>Misc PVC / 3D print</t>
        </is>
      </c>
      <c r="E11" s="16" t="n">
        <v>1</v>
      </c>
      <c r="F11" s="18" t="n">
        <v>200</v>
      </c>
      <c r="G11" s="18">
        <f>E11*F11</f>
        <v/>
      </c>
      <c r="H11" s="21" t="inlineStr">
        <is>
          <t>Open</t>
        </is>
      </c>
    </row>
    <row r="12">
      <c r="A12" s="16" t="n">
        <v>6</v>
      </c>
      <c r="B12" s="17" t="inlineStr">
        <is>
          <t>Photogrammetry license + storage (RealityCapture or Meshroom)</t>
        </is>
      </c>
      <c r="C12" s="17" t="inlineStr">
        <is>
          <t>Capturing Reality</t>
        </is>
      </c>
      <c r="D12" s="17" t="inlineStr">
        <is>
          <t>Steam license per-input</t>
        </is>
      </c>
      <c r="E12" s="16" t="n">
        <v>1</v>
      </c>
      <c r="F12" s="18" t="n">
        <v>300</v>
      </c>
      <c r="G12" s="18">
        <f>E12*F12</f>
        <v/>
      </c>
      <c r="H12" s="21" t="inlineStr">
        <is>
          <t>Open</t>
        </is>
      </c>
    </row>
    <row r="13">
      <c r="A13" s="20" t="n"/>
      <c r="B13" s="10" t="inlineStr">
        <is>
          <t>Tier 5 total</t>
        </is>
      </c>
      <c r="C13" s="20" t="n"/>
      <c r="D13" s="20" t="n"/>
      <c r="E13" s="20" t="n"/>
      <c r="F13" s="20" t="n"/>
      <c r="G13" s="11">
        <f>SUM(G7:G12)</f>
        <v/>
      </c>
      <c r="H13" s="20" t="n"/>
    </row>
  </sheetData>
  <printOptions horizontalCentered="1"/>
  <pageMargins left="0.4" right="0.4" top="0.5" bottom="0.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2026-06-14T23:17:40Z</dcterms:created>
  <dcterms:modified xmlns:dcterms="http://purl.org/dc/terms/" xmlns:xsi="http://www.w3.org/2001/XMLSchema-instance" xsi:type="dcterms:W3CDTF">2026-06-20T15:45:01Z</dcterms:modified>
</cp:coreProperties>
</file>